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4to semestre\Metodos numericos\Unidad 1\"/>
    </mc:Choice>
  </mc:AlternateContent>
  <xr:revisionPtr revIDLastSave="0" documentId="13_ncr:1_{9E2DCA7B-2A13-4542-B44A-D8156CE8A6E8}" xr6:coauthVersionLast="47" xr6:coauthVersionMax="47" xr10:uidLastSave="{00000000-0000-0000-0000-000000000000}"/>
  <bookViews>
    <workbookView xWindow="28680" yWindow="-120" windowWidth="29040" windowHeight="15720" xr2:uid="{DAF7978C-A181-4641-8522-EFB8D5DC6E49}"/>
  </bookViews>
  <sheets>
    <sheet name="Ejercic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G25" i="1"/>
  <c r="G24" i="1"/>
  <c r="G22" i="1"/>
  <c r="C24" i="1"/>
  <c r="D24" i="1"/>
  <c r="F24" i="1" s="1"/>
  <c r="K22" i="1"/>
  <c r="I22" i="1"/>
  <c r="H22" i="1"/>
  <c r="F22" i="1"/>
  <c r="E22" i="1"/>
  <c r="I24" i="1" l="1"/>
  <c r="K24" i="1" s="1"/>
  <c r="H24" i="1"/>
  <c r="E24" i="1"/>
  <c r="D25" i="1" l="1"/>
  <c r="C25" i="1"/>
  <c r="E25" i="1" s="1"/>
  <c r="H25" i="1" l="1"/>
  <c r="F25" i="1"/>
  <c r="I25" i="1"/>
  <c r="K25" i="1" s="1"/>
  <c r="C26" i="1" l="1"/>
  <c r="E26" i="1" s="1"/>
  <c r="H26" i="1" l="1"/>
  <c r="I26" i="1"/>
  <c r="K26" i="1" s="1"/>
  <c r="F26" i="1"/>
  <c r="G26" i="1" l="1"/>
  <c r="C27" i="1" s="1"/>
  <c r="E27" i="1" s="1"/>
  <c r="H27" i="1" l="1"/>
  <c r="G27" i="1" s="1"/>
  <c r="D28" i="1" s="1"/>
  <c r="F27" i="1"/>
  <c r="I27" i="1"/>
  <c r="K27" i="1" s="1"/>
  <c r="C28" i="1" l="1"/>
  <c r="E28" i="1" s="1"/>
  <c r="F28" i="1" l="1"/>
  <c r="I28" i="1"/>
  <c r="K28" i="1" s="1"/>
  <c r="H28" i="1"/>
  <c r="G28" i="1" s="1"/>
  <c r="D29" i="1" s="1"/>
  <c r="C29" i="1" l="1"/>
  <c r="E29" i="1" s="1"/>
  <c r="F29" i="1" l="1"/>
  <c r="I29" i="1"/>
  <c r="K29" i="1" s="1"/>
  <c r="H29" i="1"/>
  <c r="G29" i="1" s="1"/>
</calcChain>
</file>

<file path=xl/sharedStrings.xml><?xml version="1.0" encoding="utf-8"?>
<sst xmlns="http://schemas.openxmlformats.org/spreadsheetml/2006/main" count="19" uniqueCount="12">
  <si>
    <t>Datos</t>
  </si>
  <si>
    <t>N</t>
  </si>
  <si>
    <t>Error</t>
  </si>
  <si>
    <t>Verificacion</t>
  </si>
  <si>
    <t>a</t>
  </si>
  <si>
    <t>b</t>
  </si>
  <si>
    <t>m</t>
  </si>
  <si>
    <t>f(b)</t>
  </si>
  <si>
    <t>f(a)</t>
  </si>
  <si>
    <t>Paso 0</t>
  </si>
  <si>
    <t>f(m)</t>
  </si>
  <si>
    <t>f(a)*f(m)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</si>
</sst>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1352550</xdr:colOff>
      <xdr:row>3</xdr:row>
      <xdr:rowOff>147637</xdr:rowOff>
    </xdr:from>
    <xdr:ext cx="133684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C57183F-5975-43D8-8330-58A1C831D793}"/>
                </a:ext>
              </a:extLst>
            </xdr:cNvPr>
            <xdr:cNvSpPr txBox="1"/>
          </xdr:nvSpPr>
          <xdr:spPr>
            <a:xfrm>
              <a:off x="2876550" y="862012"/>
              <a:ext cx="13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𝐿𝑛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+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−2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C57183F-5975-43D8-8330-58A1C831D793}"/>
                </a:ext>
              </a:extLst>
            </xdr:cNvPr>
            <xdr:cNvSpPr txBox="1"/>
          </xdr:nvSpPr>
          <xdr:spPr>
            <a:xfrm>
              <a:off x="2876550" y="862012"/>
              <a:ext cx="13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𝑓(𝑥)=𝐿𝑛(𝑥)+𝑥−2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523875</xdr:colOff>
      <xdr:row>3</xdr:row>
      <xdr:rowOff>119062</xdr:rowOff>
    </xdr:from>
    <xdr:ext cx="4743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AD90C3E-4417-4F20-8C2E-BA93A80160A8}"/>
                </a:ext>
              </a:extLst>
            </xdr:cNvPr>
            <xdr:cNvSpPr txBox="1"/>
          </xdr:nvSpPr>
          <xdr:spPr>
            <a:xfrm>
              <a:off x="6619875" y="833437"/>
              <a:ext cx="474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 baseline="0">
                  <a:solidFill>
                    <a:schemeClr val="bg1"/>
                  </a:solidFill>
                  <a:latin typeface="+mn-lt"/>
                </a:rPr>
                <a:t> </a:t>
              </a:r>
              <a14:m>
                <m:oMath xmlns:m="http://schemas.openxmlformats.org/officeDocument/2006/math">
                  <m:r>
                    <a:rPr lang="es-MX" sz="1100" b="0" i="1" baseline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𝑏</m:t>
                  </m:r>
                  <m:r>
                    <a:rPr lang="es-MX" sz="1100" b="0" i="1" baseline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=1.6</m:t>
                  </m:r>
                </m:oMath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AD90C3E-4417-4F20-8C2E-BA93A80160A8}"/>
                </a:ext>
              </a:extLst>
            </xdr:cNvPr>
            <xdr:cNvSpPr txBox="1"/>
          </xdr:nvSpPr>
          <xdr:spPr>
            <a:xfrm>
              <a:off x="6619875" y="833437"/>
              <a:ext cx="474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 baseline="0">
                  <a:solidFill>
                    <a:schemeClr val="bg1"/>
                  </a:solidFill>
                  <a:latin typeface="+mn-lt"/>
                </a:rPr>
                <a:t> </a:t>
              </a:r>
              <a:r>
                <a:rPr lang="es-MX" sz="1100" b="0" i="0" baseline="0">
                  <a:solidFill>
                    <a:schemeClr val="bg1"/>
                  </a:solidFill>
                  <a:latin typeface="Cambria Math" panose="02040503050406030204" pitchFamily="18" charset="0"/>
                </a:rPr>
                <a:t>𝑏=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1.6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466725</xdr:colOff>
      <xdr:row>3</xdr:row>
      <xdr:rowOff>109537</xdr:rowOff>
    </xdr:from>
    <xdr:ext cx="5420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F51751D-65FA-4BDF-BDAC-668260D560B2}"/>
                </a:ext>
              </a:extLst>
            </xdr:cNvPr>
            <xdr:cNvSpPr txBox="1"/>
          </xdr:nvSpPr>
          <xdr:spPr>
            <a:xfrm>
              <a:off x="8086725" y="823912"/>
              <a:ext cx="5420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=0.01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F51751D-65FA-4BDF-BDAC-668260D560B2}"/>
                </a:ext>
              </a:extLst>
            </xdr:cNvPr>
            <xdr:cNvSpPr txBox="1"/>
          </xdr:nvSpPr>
          <xdr:spPr>
            <a:xfrm>
              <a:off x="8086725" y="823912"/>
              <a:ext cx="5420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=0.01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466725</xdr:colOff>
      <xdr:row>3</xdr:row>
      <xdr:rowOff>138112</xdr:rowOff>
    </xdr:from>
    <xdr:ext cx="47731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48283073-B401-4A6D-BA38-A2F37A20681D}"/>
                </a:ext>
              </a:extLst>
            </xdr:cNvPr>
            <xdr:cNvSpPr txBox="1"/>
          </xdr:nvSpPr>
          <xdr:spPr>
            <a:xfrm>
              <a:off x="5038725" y="852487"/>
              <a:ext cx="4773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1.5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48283073-B401-4A6D-BA38-A2F37A20681D}"/>
                </a:ext>
              </a:extLst>
            </xdr:cNvPr>
            <xdr:cNvSpPr txBox="1"/>
          </xdr:nvSpPr>
          <xdr:spPr>
            <a:xfrm>
              <a:off x="5038725" y="852487"/>
              <a:ext cx="4773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𝑎=1.5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FD39-7159-4FDC-89E2-866BEA210637}">
  <dimension ref="A1:K30"/>
  <sheetViews>
    <sheetView tabSelected="1" workbookViewId="0">
      <selection activeCell="G20" sqref="G20"/>
    </sheetView>
  </sheetViews>
  <sheetFormatPr baseColWidth="10" defaultRowHeight="15" x14ac:dyDescent="0.25"/>
  <cols>
    <col min="2" max="9" width="22.85546875" customWidth="1"/>
    <col min="10" max="10" width="11.42578125" customWidth="1"/>
    <col min="11" max="11" width="22.85546875" customWidth="1"/>
  </cols>
  <sheetData>
    <row r="1" spans="3:8" ht="26.25" x14ac:dyDescent="0.25">
      <c r="C1" s="13" t="s">
        <v>0</v>
      </c>
      <c r="D1" s="14"/>
      <c r="E1" s="14"/>
      <c r="F1" s="14"/>
      <c r="G1" s="14"/>
      <c r="H1" s="15"/>
    </row>
    <row r="2" spans="3:8" x14ac:dyDescent="0.25">
      <c r="C2" s="1"/>
      <c r="D2" s="2"/>
      <c r="E2" s="2"/>
      <c r="F2" s="2"/>
      <c r="G2" s="2"/>
      <c r="H2" s="3"/>
    </row>
    <row r="3" spans="3:8" x14ac:dyDescent="0.25">
      <c r="C3" s="1"/>
      <c r="D3" s="2"/>
      <c r="E3" s="2"/>
      <c r="F3" s="2"/>
      <c r="G3" s="2"/>
      <c r="H3" s="3"/>
    </row>
    <row r="4" spans="3:8" x14ac:dyDescent="0.25">
      <c r="C4" s="1"/>
      <c r="D4" s="2"/>
      <c r="E4" s="2"/>
      <c r="F4" s="2"/>
      <c r="G4" s="2"/>
      <c r="H4" s="3"/>
    </row>
    <row r="5" spans="3:8" x14ac:dyDescent="0.25">
      <c r="C5" s="1"/>
      <c r="D5" s="2"/>
      <c r="E5" s="2"/>
      <c r="F5" s="2"/>
      <c r="G5" s="2"/>
      <c r="H5" s="3"/>
    </row>
    <row r="6" spans="3:8" x14ac:dyDescent="0.25">
      <c r="C6" s="1"/>
      <c r="D6" s="2"/>
      <c r="E6" s="2"/>
      <c r="F6" s="2"/>
      <c r="G6" s="2"/>
      <c r="H6" s="3"/>
    </row>
    <row r="7" spans="3:8" x14ac:dyDescent="0.25">
      <c r="C7" s="1"/>
      <c r="D7" s="2"/>
      <c r="E7" s="2"/>
      <c r="F7" s="2"/>
      <c r="G7" s="2"/>
      <c r="H7" s="3"/>
    </row>
    <row r="8" spans="3:8" x14ac:dyDescent="0.25">
      <c r="C8" s="1"/>
      <c r="D8" s="2"/>
      <c r="E8" s="2"/>
      <c r="F8" s="2"/>
      <c r="G8" s="2"/>
      <c r="H8" s="3"/>
    </row>
    <row r="9" spans="3:8" x14ac:dyDescent="0.25">
      <c r="C9" s="1"/>
      <c r="D9" s="2"/>
      <c r="E9" s="2"/>
      <c r="F9" s="2"/>
      <c r="G9" s="2"/>
      <c r="H9" s="3"/>
    </row>
    <row r="10" spans="3:8" x14ac:dyDescent="0.25">
      <c r="C10" s="1"/>
      <c r="D10" s="2"/>
      <c r="E10" s="2"/>
      <c r="F10" s="2"/>
      <c r="G10" s="2"/>
      <c r="H10" s="3"/>
    </row>
    <row r="11" spans="3:8" x14ac:dyDescent="0.25">
      <c r="C11" s="1"/>
      <c r="D11" s="2"/>
      <c r="E11" s="2"/>
      <c r="F11" s="2"/>
      <c r="G11" s="2"/>
      <c r="H11" s="3"/>
    </row>
    <row r="12" spans="3:8" x14ac:dyDescent="0.25">
      <c r="C12" s="1"/>
      <c r="D12" s="2"/>
      <c r="E12" s="2"/>
      <c r="F12" s="2"/>
      <c r="G12" s="2"/>
      <c r="H12" s="3"/>
    </row>
    <row r="13" spans="3:8" x14ac:dyDescent="0.25">
      <c r="C13" s="1"/>
      <c r="D13" s="2"/>
      <c r="E13" s="2"/>
      <c r="F13" s="2"/>
      <c r="G13" s="2"/>
      <c r="H13" s="3"/>
    </row>
    <row r="14" spans="3:8" x14ac:dyDescent="0.25">
      <c r="C14" s="1"/>
      <c r="D14" s="2"/>
      <c r="E14" s="2"/>
      <c r="F14" s="2"/>
      <c r="G14" s="2"/>
      <c r="H14" s="3"/>
    </row>
    <row r="15" spans="3:8" x14ac:dyDescent="0.25">
      <c r="C15" s="1"/>
      <c r="D15" s="2"/>
      <c r="E15" s="2"/>
      <c r="F15" s="2"/>
      <c r="G15" s="2"/>
      <c r="H15" s="3"/>
    </row>
    <row r="16" spans="3:8" ht="15.75" thickBot="1" x14ac:dyDescent="0.3">
      <c r="C16" s="4"/>
      <c r="D16" s="5"/>
      <c r="E16" s="5"/>
      <c r="F16" s="5"/>
      <c r="G16" s="5"/>
      <c r="H16" s="6"/>
    </row>
    <row r="21" spans="1:11" ht="18.75" x14ac:dyDescent="0.25">
      <c r="B21" s="7" t="s">
        <v>1</v>
      </c>
      <c r="C21" s="7" t="s">
        <v>4</v>
      </c>
      <c r="D21" s="7" t="s">
        <v>5</v>
      </c>
      <c r="E21" s="7" t="s">
        <v>8</v>
      </c>
      <c r="F21" s="7" t="s">
        <v>7</v>
      </c>
      <c r="G21" s="7" t="s">
        <v>11</v>
      </c>
      <c r="H21" s="7" t="s">
        <v>6</v>
      </c>
      <c r="I21" s="7" t="s">
        <v>2</v>
      </c>
      <c r="K21" s="9" t="s">
        <v>3</v>
      </c>
    </row>
    <row r="22" spans="1:11" x14ac:dyDescent="0.25">
      <c r="A22" s="11" t="s">
        <v>9</v>
      </c>
      <c r="B22" s="8">
        <v>0</v>
      </c>
      <c r="C22" s="8">
        <v>1.5</v>
      </c>
      <c r="D22" s="8">
        <v>1.6</v>
      </c>
      <c r="E22" s="8">
        <f>LN(C22)+C22-2</f>
        <v>-9.4534891891835615E-2</v>
      </c>
      <c r="F22" s="8">
        <f>LN(D22)+D22-2</f>
        <v>7.0003629245735777E-2</v>
      </c>
      <c r="G22" s="8">
        <f>E22*(LN(H22)+H22-2)</f>
        <v>1.1103188346853817E-3</v>
      </c>
      <c r="H22" s="8">
        <f>(C22+D22)/2</f>
        <v>1.55</v>
      </c>
      <c r="I22" s="8">
        <f>(D22-C22)/2</f>
        <v>5.0000000000000044E-2</v>
      </c>
      <c r="K22" s="10" t="str">
        <f>IF(I22&gt;0.01,"Otra iteración","Final")</f>
        <v>Otra iteración</v>
      </c>
    </row>
    <row r="23" spans="1:11" ht="18.75" x14ac:dyDescent="0.25">
      <c r="B23" s="7" t="s">
        <v>1</v>
      </c>
      <c r="C23" s="7" t="s">
        <v>4</v>
      </c>
      <c r="D23" s="7" t="s">
        <v>5</v>
      </c>
      <c r="E23" s="7" t="s">
        <v>8</v>
      </c>
      <c r="F23" s="7" t="s">
        <v>10</v>
      </c>
      <c r="G23" s="7" t="s">
        <v>11</v>
      </c>
      <c r="H23" s="7" t="s">
        <v>6</v>
      </c>
      <c r="I23" s="7" t="s">
        <v>2</v>
      </c>
    </row>
    <row r="24" spans="1:11" x14ac:dyDescent="0.25">
      <c r="B24" s="8">
        <v>1</v>
      </c>
      <c r="C24" s="8">
        <f>IF(G22&lt;0,C22,H22)</f>
        <v>1.55</v>
      </c>
      <c r="D24" s="8">
        <f>IF(G22&lt;0,H22,D22)</f>
        <v>1.6</v>
      </c>
      <c r="E24" s="8">
        <f t="shared" ref="E24:E29" si="0">LN(C24)+C24-2</f>
        <v>-1.174506906884476E-2</v>
      </c>
      <c r="F24" s="8">
        <f t="shared" ref="F24:F29" si="1">LN(D24)+D24-2</f>
        <v>7.0003629245735777E-2</v>
      </c>
      <c r="G24" s="8">
        <f>E24*(LN(H24)+H24-2)</f>
        <v>-3.4360519352823025E-4</v>
      </c>
      <c r="H24" s="8">
        <f t="shared" ref="H24:H29" si="2">(C24+D24)/2</f>
        <v>1.5750000000000002</v>
      </c>
      <c r="I24" s="8">
        <f t="shared" ref="I24:I29" si="3">(D24-C24)/2</f>
        <v>2.5000000000000022E-2</v>
      </c>
      <c r="K24" s="10" t="str">
        <f t="shared" ref="K24:K29" si="4">IF(I24&gt;0.01,"Otra iteración","Final")</f>
        <v>Otra iteración</v>
      </c>
    </row>
    <row r="25" spans="1:11" x14ac:dyDescent="0.25">
      <c r="B25" s="8">
        <v>2</v>
      </c>
      <c r="C25" s="8">
        <f>IF(G24&lt;0,C24,H24)</f>
        <v>1.55</v>
      </c>
      <c r="D25" s="8">
        <f>IF(G24&lt;0,H24,D24)</f>
        <v>1.5750000000000002</v>
      </c>
      <c r="E25" s="8">
        <f t="shared" si="0"/>
        <v>-1.174506906884476E-2</v>
      </c>
      <c r="F25" s="8">
        <f t="shared" si="1"/>
        <v>2.92552722775965E-2</v>
      </c>
      <c r="G25" s="8">
        <f t="shared" ref="G25:G29" si="5">E25*(LN(H25)+H25-2)</f>
        <v>-1.0320512728581341E-4</v>
      </c>
      <c r="H25" s="8">
        <f t="shared" si="2"/>
        <v>1.5625</v>
      </c>
      <c r="I25" s="8">
        <f t="shared" si="3"/>
        <v>1.2500000000000067E-2</v>
      </c>
      <c r="K25" s="10" t="str">
        <f t="shared" si="4"/>
        <v>Otra iteración</v>
      </c>
    </row>
    <row r="26" spans="1:11" x14ac:dyDescent="0.25">
      <c r="B26" s="8">
        <v>3</v>
      </c>
      <c r="C26" s="8">
        <f t="shared" ref="C26:C28" si="6">IF(G25&lt;0,C25,H25)</f>
        <v>1.55</v>
      </c>
      <c r="D26" s="8">
        <f>IF(G25&lt;0,H25,D25)</f>
        <v>1.5625</v>
      </c>
      <c r="E26" s="8">
        <f t="shared" si="0"/>
        <v>-1.174506906884476E-2</v>
      </c>
      <c r="F26" s="8">
        <f t="shared" si="1"/>
        <v>8.7871026284194187E-3</v>
      </c>
      <c r="G26" s="8">
        <f t="shared" si="5"/>
        <v>1.7276042537969039E-5</v>
      </c>
      <c r="H26" s="8">
        <f t="shared" si="2"/>
        <v>1.5562499999999999</v>
      </c>
      <c r="I26" s="8">
        <f t="shared" si="3"/>
        <v>6.2499999999999778E-3</v>
      </c>
      <c r="K26" s="10" t="str">
        <f t="shared" si="4"/>
        <v>Final</v>
      </c>
    </row>
    <row r="27" spans="1:11" x14ac:dyDescent="0.25">
      <c r="B27" s="8">
        <v>4</v>
      </c>
      <c r="C27" s="8">
        <f t="shared" si="6"/>
        <v>1.5562499999999999</v>
      </c>
      <c r="D27" s="8">
        <f t="shared" ref="D27:D29" si="7">IF(G26&lt;0,H26,D26)</f>
        <v>1.5625</v>
      </c>
      <c r="E27" s="8">
        <f>LN(C27)+C27-2</f>
        <v>-1.4709187691195336E-3</v>
      </c>
      <c r="F27" s="8">
        <f t="shared" si="1"/>
        <v>8.7871026284194187E-3</v>
      </c>
      <c r="G27" s="8">
        <f t="shared" si="5"/>
        <v>-5.3837097247029695E-6</v>
      </c>
      <c r="H27" s="8">
        <f t="shared" si="2"/>
        <v>1.559375</v>
      </c>
      <c r="I27" s="8">
        <f t="shared" si="3"/>
        <v>3.1250000000000444E-3</v>
      </c>
      <c r="K27" s="10" t="str">
        <f t="shared" si="4"/>
        <v>Final</v>
      </c>
    </row>
    <row r="28" spans="1:11" x14ac:dyDescent="0.25">
      <c r="B28" s="8">
        <v>5</v>
      </c>
      <c r="C28" s="8">
        <f t="shared" si="6"/>
        <v>1.5562499999999999</v>
      </c>
      <c r="D28" s="8">
        <f t="shared" si="7"/>
        <v>1.559375</v>
      </c>
      <c r="E28" s="8">
        <f t="shared" si="0"/>
        <v>-1.4709187691195336E-3</v>
      </c>
      <c r="F28" s="8">
        <f t="shared" si="1"/>
        <v>3.660099957746521E-3</v>
      </c>
      <c r="G28" s="8">
        <f t="shared" si="5"/>
        <v>-1.6107937421275048E-6</v>
      </c>
      <c r="H28" s="8">
        <f t="shared" si="2"/>
        <v>1.5578124999999998</v>
      </c>
      <c r="I28" s="8">
        <f t="shared" si="3"/>
        <v>1.5625000000000222E-3</v>
      </c>
      <c r="K28" s="10" t="str">
        <f t="shared" si="4"/>
        <v>Final</v>
      </c>
    </row>
    <row r="29" spans="1:11" x14ac:dyDescent="0.25">
      <c r="B29" s="8">
        <v>6</v>
      </c>
      <c r="C29" s="8">
        <f>IF(G28&lt;0,C28,H28)</f>
        <v>1.5562499999999999</v>
      </c>
      <c r="D29" s="8">
        <f t="shared" si="7"/>
        <v>1.5578124999999998</v>
      </c>
      <c r="E29" s="8">
        <f t="shared" si="0"/>
        <v>-1.4709187691195336E-3</v>
      </c>
      <c r="F29" s="8">
        <f t="shared" si="1"/>
        <v>1.0950936081206564E-3</v>
      </c>
      <c r="G29" s="8">
        <f t="shared" si="5"/>
        <v>2.7621898289834502E-7</v>
      </c>
      <c r="H29" s="8">
        <f t="shared" si="2"/>
        <v>1.5570312499999999</v>
      </c>
      <c r="I29" s="8">
        <f t="shared" si="3"/>
        <v>7.8124999999995559E-4</v>
      </c>
      <c r="K29" s="10" t="str">
        <f t="shared" si="4"/>
        <v>Final</v>
      </c>
    </row>
    <row r="30" spans="1:11" x14ac:dyDescent="0.25">
      <c r="D30" s="12"/>
    </row>
  </sheetData>
  <mergeCells count="1">
    <mergeCell ref="C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TADEO PEREZ HERNANDEZ</dc:creator>
  <cp:lastModifiedBy>DIEGO TADEO PEREZ HERNANDEZ</cp:lastModifiedBy>
  <dcterms:created xsi:type="dcterms:W3CDTF">2026-03-06T01:38:13Z</dcterms:created>
  <dcterms:modified xsi:type="dcterms:W3CDTF">2026-03-06T06:15:21Z</dcterms:modified>
</cp:coreProperties>
</file>