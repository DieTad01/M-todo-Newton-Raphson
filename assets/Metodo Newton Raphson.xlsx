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4to semestre\Metodos numericos\Unidad 1\"/>
    </mc:Choice>
  </mc:AlternateContent>
  <xr:revisionPtr revIDLastSave="0" documentId="13_ncr:1_{297D14AB-92AE-4FBA-AB2E-4503A9482752}" xr6:coauthVersionLast="47" xr6:coauthVersionMax="47" xr10:uidLastSave="{00000000-0000-0000-0000-000000000000}"/>
  <bookViews>
    <workbookView xWindow="28680" yWindow="-120" windowWidth="29040" windowHeight="15720" xr2:uid="{4778BA4B-4C00-4C92-A8FF-1C351C02E245}"/>
  </bookViews>
  <sheets>
    <sheet name="Ejercicio 1" sheetId="1" r:id="rId1"/>
    <sheet name="Ejercicio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/>
  <c r="E23" i="2"/>
  <c r="F22" i="2"/>
  <c r="E22" i="2"/>
  <c r="J22" i="1"/>
  <c r="J23" i="1"/>
  <c r="J24" i="1"/>
  <c r="J25" i="1"/>
  <c r="J26" i="1"/>
  <c r="J27" i="1"/>
  <c r="J28" i="1"/>
  <c r="H24" i="1"/>
  <c r="H25" i="1"/>
  <c r="H26" i="1"/>
  <c r="H27" i="1"/>
  <c r="H28" i="1"/>
  <c r="G24" i="1"/>
  <c r="F24" i="1"/>
  <c r="E24" i="1"/>
  <c r="D25" i="1"/>
  <c r="F25" i="1" s="1"/>
  <c r="D24" i="1"/>
  <c r="H23" i="1"/>
  <c r="G23" i="1"/>
  <c r="F23" i="1"/>
  <c r="E23" i="1"/>
  <c r="D23" i="1"/>
  <c r="H22" i="1"/>
  <c r="G22" i="1"/>
  <c r="F22" i="1"/>
  <c r="E22" i="1"/>
  <c r="D22" i="1"/>
  <c r="G22" i="2" l="1"/>
  <c r="E25" i="1"/>
  <c r="G25" i="1"/>
  <c r="D26" i="1" s="1"/>
  <c r="H22" i="2" l="1"/>
  <c r="J22" i="2" s="1"/>
  <c r="D23" i="2"/>
  <c r="E26" i="1"/>
  <c r="F26" i="1"/>
  <c r="G26" i="1"/>
  <c r="D27" i="1" s="1"/>
  <c r="E27" i="1" l="1"/>
  <c r="F27" i="1"/>
  <c r="G27" i="1" s="1"/>
  <c r="D28" i="1" s="1"/>
  <c r="G23" i="2" l="1"/>
  <c r="D24" i="2"/>
  <c r="H23" i="2"/>
  <c r="J23" i="2" s="1"/>
  <c r="E28" i="1"/>
  <c r="F28" i="1"/>
  <c r="G28" i="1" s="1"/>
  <c r="E24" i="2" l="1"/>
  <c r="F24" i="2"/>
  <c r="G24" i="2"/>
  <c r="H24" i="2" l="1"/>
  <c r="J24" i="2" s="1"/>
  <c r="D25" i="2"/>
  <c r="E25" i="2" l="1"/>
  <c r="F25" i="2"/>
  <c r="G25" i="2"/>
  <c r="D26" i="2" s="1"/>
  <c r="H25" i="2"/>
  <c r="J25" i="2" s="1"/>
  <c r="E26" i="2" l="1"/>
  <c r="F26" i="2"/>
  <c r="G26" i="2" s="1"/>
  <c r="H26" i="2" l="1"/>
  <c r="J26" i="2" s="1"/>
  <c r="D27" i="2"/>
  <c r="E27" i="2" l="1"/>
  <c r="F27" i="2"/>
  <c r="G27" i="2" l="1"/>
  <c r="H27" i="2" l="1"/>
  <c r="J27" i="2" s="1"/>
  <c r="D28" i="2"/>
  <c r="E28" i="2" l="1"/>
  <c r="F28" i="2"/>
  <c r="G28" i="2"/>
  <c r="H28" i="2" s="1"/>
  <c r="J28" i="2" s="1"/>
</calcChain>
</file>

<file path=xl/sharedStrings.xml><?xml version="1.0" encoding="utf-8"?>
<sst xmlns="http://schemas.openxmlformats.org/spreadsheetml/2006/main" count="16" uniqueCount="8">
  <si>
    <t>N</t>
  </si>
  <si>
    <t>Xn</t>
  </si>
  <si>
    <t>f(x)</t>
  </si>
  <si>
    <t>f´(x)</t>
  </si>
  <si>
    <t>Xn+1</t>
  </si>
  <si>
    <t>Error</t>
  </si>
  <si>
    <t>Verificacion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</si>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</sst>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9" xfId="0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1219200</xdr:colOff>
      <xdr:row>16</xdr:row>
      <xdr:rowOff>14287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FEA76EF-9CBA-C9C7-F002-DFCFADD0E5C5}"/>
            </a:ext>
          </a:extLst>
        </xdr:cNvPr>
        <xdr:cNvSpPr txBox="1"/>
      </xdr:nvSpPr>
      <xdr:spPr>
        <a:xfrm>
          <a:off x="8458200" y="30622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1219200</xdr:colOff>
      <xdr:row>3</xdr:row>
      <xdr:rowOff>71437</xdr:rowOff>
    </xdr:from>
    <xdr:ext cx="1150700" cy="28879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AFAEA80-C5DB-68F5-CC35-CA2278BAC665}"/>
                </a:ext>
              </a:extLst>
            </xdr:cNvPr>
            <xdr:cNvSpPr txBox="1"/>
          </xdr:nvSpPr>
          <xdr:spPr>
            <a:xfrm>
              <a:off x="2743200" y="785812"/>
              <a:ext cx="1150700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𝑓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𝑠𝑒𝑛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CAFAEA80-C5DB-68F5-CC35-CA2278BAC665}"/>
                </a:ext>
              </a:extLst>
            </xdr:cNvPr>
            <xdr:cNvSpPr txBox="1"/>
          </xdr:nvSpPr>
          <xdr:spPr>
            <a:xfrm>
              <a:off x="2743200" y="785812"/>
              <a:ext cx="1150700" cy="2887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𝑓(𝑥)=𝑠𝑒𝑛(𝑥)−𝑥/2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4</xdr:col>
      <xdr:colOff>171450</xdr:colOff>
      <xdr:row>3</xdr:row>
      <xdr:rowOff>80962</xdr:rowOff>
    </xdr:from>
    <xdr:ext cx="449931" cy="2876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61B2B4B-AAD5-4B27-A2F6-EA4719862062}"/>
                </a:ext>
              </a:extLst>
            </xdr:cNvPr>
            <xdr:cNvSpPr txBox="1"/>
          </xdr:nvSpPr>
          <xdr:spPr>
            <a:xfrm>
              <a:off x="4552950" y="795337"/>
              <a:ext cx="449931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0=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F61B2B4B-AAD5-4B27-A2F6-EA4719862062}"/>
                </a:ext>
              </a:extLst>
            </xdr:cNvPr>
            <xdr:cNvSpPr txBox="1"/>
          </xdr:nvSpPr>
          <xdr:spPr>
            <a:xfrm>
              <a:off x="4552950" y="795337"/>
              <a:ext cx="449931" cy="2876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𝑥0=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𝜋/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2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28575</xdr:colOff>
      <xdr:row>3</xdr:row>
      <xdr:rowOff>119062</xdr:rowOff>
    </xdr:from>
    <xdr:ext cx="620106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8A0D3F1-7195-4BFE-A9F6-D768EF507815}"/>
                </a:ext>
              </a:extLst>
            </xdr:cNvPr>
            <xdr:cNvSpPr txBox="1"/>
          </xdr:nvSpPr>
          <xdr:spPr>
            <a:xfrm>
              <a:off x="5838825" y="833437"/>
              <a:ext cx="62010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=0.005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D8A0D3F1-7195-4BFE-A9F6-D768EF507815}"/>
                </a:ext>
              </a:extLst>
            </xdr:cNvPr>
            <xdr:cNvSpPr txBox="1"/>
          </xdr:nvSpPr>
          <xdr:spPr>
            <a:xfrm>
              <a:off x="5838825" y="833437"/>
              <a:ext cx="620106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=0.005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1285875</xdr:colOff>
      <xdr:row>3</xdr:row>
      <xdr:rowOff>42862</xdr:rowOff>
    </xdr:from>
    <xdr:ext cx="1164678" cy="31688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00A21D8-121E-453B-A86B-951FAB68E5D8}"/>
                </a:ext>
              </a:extLst>
            </xdr:cNvPr>
            <xdr:cNvSpPr txBox="1"/>
          </xdr:nvSpPr>
          <xdr:spPr>
            <a:xfrm>
              <a:off x="7096125" y="757237"/>
              <a:ext cx="1164678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´</m:t>
                    </m:r>
                    <m:d>
                      <m:d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</m:d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=</m:t>
                    </m:r>
                    <m:func>
                      <m:func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s-MX" sz="1100" b="0" i="0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cos</m:t>
                        </m:r>
                      </m:fName>
                      <m:e>
                        <m:d>
                          <m:dPr>
                            <m:ctrlPr>
                              <a:rPr lang="es-MX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MX" sz="1100" b="0" i="1">
                                <a:solidFill>
                                  <a:schemeClr val="bg1"/>
                                </a:solidFill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d>
                      </m:e>
                    </m:func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−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1</m:t>
                        </m:r>
                      </m:num>
                      <m:den>
                        <m:r>
                          <a:rPr lang="es-MX" sz="1100" b="0" i="1">
                            <a:solidFill>
                              <a:schemeClr val="bg1"/>
                            </a:solidFill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A00A21D8-121E-453B-A86B-951FAB68E5D8}"/>
                </a:ext>
              </a:extLst>
            </xdr:cNvPr>
            <xdr:cNvSpPr txBox="1"/>
          </xdr:nvSpPr>
          <xdr:spPr>
            <a:xfrm>
              <a:off x="7096125" y="757237"/>
              <a:ext cx="1164678" cy="3168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𝑓´(𝑥)=cos⁡(𝑥)−1/2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1219200</xdr:colOff>
      <xdr:row>16</xdr:row>
      <xdr:rowOff>14287</xdr:rowOff>
    </xdr:from>
    <xdr:ext cx="65" cy="172227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600304D-FA8C-4BAA-80A4-5A3579B952D2}"/>
            </a:ext>
          </a:extLst>
        </xdr:cNvPr>
        <xdr:cNvSpPr txBox="1"/>
      </xdr:nvSpPr>
      <xdr:spPr>
        <a:xfrm>
          <a:off x="8458200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2</xdr:col>
      <xdr:colOff>1352550</xdr:colOff>
      <xdr:row>3</xdr:row>
      <xdr:rowOff>147637</xdr:rowOff>
    </xdr:from>
    <xdr:ext cx="784254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8C05DFD-8156-41B5-BE7A-7D4BCB5E0F2D}"/>
                </a:ext>
              </a:extLst>
            </xdr:cNvPr>
            <xdr:cNvSpPr txBox="1"/>
          </xdr:nvSpPr>
          <xdr:spPr>
            <a:xfrm>
              <a:off x="2876550" y="862012"/>
              <a:ext cx="7842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𝑓</m:t>
                  </m:r>
                  <m:d>
                    <m:dPr>
                      <m:ctrlP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r>
                <a:rPr lang="es-MX" sz="1100">
                  <a:solidFill>
                    <a:schemeClr val="bg1"/>
                  </a:solidFill>
                </a:rPr>
                <a:t>-x</a:t>
              </a:r>
            </a:p>
          </xdr:txBody>
        </xdr:sp>
      </mc:Choice>
      <mc:Fallback xmlns="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58C05DFD-8156-41B5-BE7A-7D4BCB5E0F2D}"/>
                </a:ext>
              </a:extLst>
            </xdr:cNvPr>
            <xdr:cNvSpPr txBox="1"/>
          </xdr:nvSpPr>
          <xdr:spPr>
            <a:xfrm>
              <a:off x="2876550" y="862012"/>
              <a:ext cx="784254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𝑓(𝑥)=𝑒^(−𝑥)</a:t>
              </a:r>
              <a:r>
                <a:rPr lang="es-MX" sz="1100">
                  <a:solidFill>
                    <a:schemeClr val="bg1"/>
                  </a:solidFill>
                </a:rPr>
                <a:t>-x</a:t>
              </a:r>
            </a:p>
          </xdr:txBody>
        </xdr:sp>
      </mc:Fallback>
    </mc:AlternateContent>
    <xdr:clientData/>
  </xdr:oneCellAnchor>
  <xdr:oneCellAnchor>
    <xdr:from>
      <xdr:col>4</xdr:col>
      <xdr:colOff>171450</xdr:colOff>
      <xdr:row>3</xdr:row>
      <xdr:rowOff>128587</xdr:rowOff>
    </xdr:from>
    <xdr:ext cx="441403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D1C383E-25E2-46DB-97A2-D809039E60D2}"/>
                </a:ext>
              </a:extLst>
            </xdr:cNvPr>
            <xdr:cNvSpPr txBox="1"/>
          </xdr:nvSpPr>
          <xdr:spPr>
            <a:xfrm>
              <a:off x="4552950" y="842962"/>
              <a:ext cx="4414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𝑥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</a:rPr>
                      <m:t>0=0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6D1C383E-25E2-46DB-97A2-D809039E60D2}"/>
                </a:ext>
              </a:extLst>
            </xdr:cNvPr>
            <xdr:cNvSpPr txBox="1"/>
          </xdr:nvSpPr>
          <xdr:spPr>
            <a:xfrm>
              <a:off x="4552950" y="842962"/>
              <a:ext cx="441403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𝑥0=0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5</xdr:col>
      <xdr:colOff>28575</xdr:colOff>
      <xdr:row>3</xdr:row>
      <xdr:rowOff>119062</xdr:rowOff>
    </xdr:from>
    <xdr:ext cx="542008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A94A6BF-C40E-427B-9F4E-C953BF3DF009}"/>
                </a:ext>
              </a:extLst>
            </xdr:cNvPr>
            <xdr:cNvSpPr txBox="1"/>
          </xdr:nvSpPr>
          <xdr:spPr>
            <a:xfrm>
              <a:off x="5838825" y="833437"/>
              <a:ext cx="5420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𝜀</m:t>
                    </m:r>
                    <m:r>
                      <a:rPr lang="es-MX" sz="1100" b="0" i="1">
                        <a:solidFill>
                          <a:schemeClr val="bg1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=0.01</m:t>
                    </m:r>
                  </m:oMath>
                </m:oMathPara>
              </a14:m>
              <a:endParaRPr lang="es-MX" sz="1100">
                <a:solidFill>
                  <a:schemeClr val="bg1"/>
                </a:solidFill>
              </a:endParaRPr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5A94A6BF-C40E-427B-9F4E-C953BF3DF009}"/>
                </a:ext>
              </a:extLst>
            </xdr:cNvPr>
            <xdr:cNvSpPr txBox="1"/>
          </xdr:nvSpPr>
          <xdr:spPr>
            <a:xfrm>
              <a:off x="5838825" y="833437"/>
              <a:ext cx="542008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𝜀</a:t>
              </a:r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=0.01</a:t>
              </a:r>
              <a:endParaRPr lang="es-MX" sz="1100">
                <a:solidFill>
                  <a:schemeClr val="bg1"/>
                </a:solidFill>
              </a:endParaRPr>
            </a:p>
          </xdr:txBody>
        </xdr:sp>
      </mc:Fallback>
    </mc:AlternateContent>
    <xdr:clientData/>
  </xdr:oneCellAnchor>
  <xdr:oneCellAnchor>
    <xdr:from>
      <xdr:col>6</xdr:col>
      <xdr:colOff>85725</xdr:colOff>
      <xdr:row>3</xdr:row>
      <xdr:rowOff>109537</xdr:rowOff>
    </xdr:from>
    <xdr:ext cx="939937" cy="1737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59E8838-968C-4BB9-9482-9EEBFF0212F5}"/>
                </a:ext>
              </a:extLst>
            </xdr:cNvPr>
            <xdr:cNvSpPr txBox="1"/>
          </xdr:nvSpPr>
          <xdr:spPr>
            <a:xfrm>
              <a:off x="7324725" y="823912"/>
              <a:ext cx="9399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MX" sz="1100" b="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𝑓</m:t>
                  </m:r>
                  <m:r>
                    <a:rPr lang="es-MX" sz="1100" b="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´</m:t>
                  </m:r>
                  <m:d>
                    <m:dPr>
                      <m:ctrlP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e>
                  </m:d>
                  <m:r>
                    <a:rPr lang="es-MX" sz="1100" b="0" i="1">
                      <a:solidFill>
                        <a:schemeClr val="bg1"/>
                      </a:solidFill>
                      <a:latin typeface="Cambria Math" panose="02040503050406030204" pitchFamily="18" charset="0"/>
                    </a:rPr>
                    <m:t>=</m:t>
                  </m:r>
                  <m:sSup>
                    <m:sSupPr>
                      <m:ctrlP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</m:ctrlPr>
                    </m:sSupPr>
                    <m:e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𝑒</m:t>
                      </m:r>
                    </m:e>
                    <m:sup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−</m:t>
                      </m:r>
                      <m:r>
                        <a:rPr lang="es-MX" sz="1100" b="0" i="1">
                          <a:solidFill>
                            <a:schemeClr val="bg1"/>
                          </a:solidFill>
                          <a:latin typeface="Cambria Math" panose="02040503050406030204" pitchFamily="18" charset="0"/>
                        </a:rPr>
                        <m:t>𝑥</m:t>
                      </m:r>
                    </m:sup>
                  </m:sSup>
                </m:oMath>
              </a14:m>
              <a:r>
                <a:rPr lang="es-MX" sz="1100">
                  <a:solidFill>
                    <a:schemeClr val="bg1"/>
                  </a:solidFill>
                </a:rPr>
                <a:t>-1</a:t>
              </a:r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159E8838-968C-4BB9-9482-9EEBFF0212F5}"/>
                </a:ext>
              </a:extLst>
            </xdr:cNvPr>
            <xdr:cNvSpPr txBox="1"/>
          </xdr:nvSpPr>
          <xdr:spPr>
            <a:xfrm>
              <a:off x="7324725" y="823912"/>
              <a:ext cx="939937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MX" sz="1100" b="0" i="0">
                  <a:solidFill>
                    <a:schemeClr val="bg1"/>
                  </a:solidFill>
                  <a:latin typeface="Cambria Math" panose="02040503050406030204" pitchFamily="18" charset="0"/>
                </a:rPr>
                <a:t>𝑓´(𝑥)=〖−𝑒〗^(−𝑥)</a:t>
              </a:r>
              <a:r>
                <a:rPr lang="es-MX" sz="1100">
                  <a:solidFill>
                    <a:schemeClr val="bg1"/>
                  </a:solidFill>
                </a:rPr>
                <a:t>-1</a:t>
              </a: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40260-5E52-461E-BA5F-2FE2FB0073EA}">
  <dimension ref="C1:J28"/>
  <sheetViews>
    <sheetView tabSelected="1" workbookViewId="0">
      <selection activeCell="J22" sqref="J22"/>
    </sheetView>
  </sheetViews>
  <sheetFormatPr baseColWidth="10" defaultRowHeight="15" x14ac:dyDescent="0.25"/>
  <cols>
    <col min="3" max="8" width="21.42578125" customWidth="1"/>
    <col min="9" max="9" width="11.42578125" customWidth="1"/>
    <col min="10" max="10" width="21.42578125" customWidth="1"/>
  </cols>
  <sheetData>
    <row r="1" spans="3:9" ht="26.25" x14ac:dyDescent="0.25">
      <c r="C1" s="13" t="s">
        <v>7</v>
      </c>
      <c r="D1" s="14"/>
      <c r="E1" s="14"/>
      <c r="F1" s="14"/>
      <c r="G1" s="14"/>
      <c r="H1" s="15"/>
      <c r="I1" s="1"/>
    </row>
    <row r="2" spans="3:9" x14ac:dyDescent="0.25">
      <c r="C2" s="2"/>
      <c r="D2" s="3"/>
      <c r="E2" s="3"/>
      <c r="F2" s="3"/>
      <c r="G2" s="3"/>
      <c r="H2" s="4"/>
    </row>
    <row r="3" spans="3:9" x14ac:dyDescent="0.25">
      <c r="C3" s="2"/>
      <c r="D3" s="3"/>
      <c r="E3" s="3"/>
      <c r="F3" s="3"/>
      <c r="G3" s="3"/>
      <c r="H3" s="4"/>
    </row>
    <row r="4" spans="3:9" x14ac:dyDescent="0.25">
      <c r="C4" s="2"/>
      <c r="D4" s="3"/>
      <c r="E4" s="3"/>
      <c r="F4" s="3"/>
      <c r="G4" s="3"/>
      <c r="H4" s="4"/>
    </row>
    <row r="5" spans="3:9" x14ac:dyDescent="0.25">
      <c r="C5" s="2"/>
      <c r="D5" s="3"/>
      <c r="E5" s="3"/>
      <c r="F5" s="3"/>
      <c r="G5" s="3"/>
      <c r="H5" s="4"/>
    </row>
    <row r="6" spans="3:9" x14ac:dyDescent="0.25">
      <c r="C6" s="2"/>
      <c r="D6" s="3"/>
      <c r="E6" s="3"/>
      <c r="F6" s="3"/>
      <c r="G6" s="3"/>
      <c r="H6" s="4"/>
    </row>
    <row r="7" spans="3:9" x14ac:dyDescent="0.25">
      <c r="C7" s="2"/>
      <c r="D7" s="3"/>
      <c r="E7" s="3"/>
      <c r="F7" s="3"/>
      <c r="G7" s="3"/>
      <c r="H7" s="4"/>
    </row>
    <row r="8" spans="3:9" x14ac:dyDescent="0.25">
      <c r="C8" s="2"/>
      <c r="D8" s="3"/>
      <c r="E8" s="3"/>
      <c r="F8" s="3"/>
      <c r="G8" s="3"/>
      <c r="H8" s="4"/>
    </row>
    <row r="9" spans="3:9" x14ac:dyDescent="0.25">
      <c r="C9" s="2"/>
      <c r="D9" s="3"/>
      <c r="E9" s="3"/>
      <c r="F9" s="3"/>
      <c r="G9" s="3"/>
      <c r="H9" s="4"/>
    </row>
    <row r="10" spans="3:9" x14ac:dyDescent="0.25">
      <c r="C10" s="2"/>
      <c r="D10" s="3"/>
      <c r="E10" s="3"/>
      <c r="F10" s="3"/>
      <c r="G10" s="3"/>
      <c r="H10" s="4"/>
    </row>
    <row r="11" spans="3:9" x14ac:dyDescent="0.25">
      <c r="C11" s="2"/>
      <c r="D11" s="3"/>
      <c r="E11" s="3"/>
      <c r="F11" s="3"/>
      <c r="G11" s="3"/>
      <c r="H11" s="4"/>
    </row>
    <row r="12" spans="3:9" x14ac:dyDescent="0.25">
      <c r="C12" s="2"/>
      <c r="D12" s="3"/>
      <c r="E12" s="3"/>
      <c r="F12" s="3"/>
      <c r="G12" s="3"/>
      <c r="H12" s="4"/>
    </row>
    <row r="13" spans="3:9" x14ac:dyDescent="0.25">
      <c r="C13" s="2"/>
      <c r="D13" s="3"/>
      <c r="E13" s="3"/>
      <c r="F13" s="3"/>
      <c r="G13" s="3"/>
      <c r="H13" s="4"/>
    </row>
    <row r="14" spans="3:9" x14ac:dyDescent="0.25">
      <c r="C14" s="2"/>
      <c r="D14" s="3"/>
      <c r="E14" s="3"/>
      <c r="F14" s="3"/>
      <c r="G14" s="3"/>
      <c r="H14" s="4"/>
    </row>
    <row r="15" spans="3:9" x14ac:dyDescent="0.25">
      <c r="C15" s="2"/>
      <c r="D15" s="3"/>
      <c r="E15" s="3"/>
      <c r="F15" s="3"/>
      <c r="G15" s="3"/>
      <c r="H15" s="4"/>
    </row>
    <row r="16" spans="3:9" ht="15.75" thickBot="1" x14ac:dyDescent="0.3">
      <c r="C16" s="5"/>
      <c r="D16" s="6"/>
      <c r="E16" s="6"/>
      <c r="F16" s="6"/>
      <c r="G16" s="6"/>
      <c r="H16" s="7"/>
    </row>
    <row r="21" spans="3:10" ht="18.75" x14ac:dyDescent="0.25">
      <c r="C21" s="10" t="s">
        <v>0</v>
      </c>
      <c r="D21" s="10" t="s">
        <v>1</v>
      </c>
      <c r="E21" s="10" t="s">
        <v>2</v>
      </c>
      <c r="F21" s="10" t="s">
        <v>3</v>
      </c>
      <c r="G21" s="10" t="s">
        <v>4</v>
      </c>
      <c r="H21" s="10" t="s">
        <v>5</v>
      </c>
      <c r="J21" s="11" t="s">
        <v>6</v>
      </c>
    </row>
    <row r="22" spans="3:10" x14ac:dyDescent="0.25">
      <c r="C22" s="9">
        <v>0</v>
      </c>
      <c r="D22" s="9">
        <f>PI()/2</f>
        <v>1.5707963267948966</v>
      </c>
      <c r="E22" s="9">
        <f>SIN(D22)-(D22/2)</f>
        <v>0.21460183660255172</v>
      </c>
      <c r="F22" s="9">
        <f>COS(D22)-1/2</f>
        <v>-0.49999999999999994</v>
      </c>
      <c r="G22" s="9">
        <f>D22-(E22/F22)</f>
        <v>2</v>
      </c>
      <c r="H22" s="9">
        <f>ABS((G22-D22)/G22)</f>
        <v>0.21460183660255172</v>
      </c>
      <c r="I22" s="8"/>
      <c r="J22" s="16" t="str">
        <f>IF(H22&gt;0.005,"Otra iteración","Final")</f>
        <v>Otra iteración</v>
      </c>
    </row>
    <row r="23" spans="3:10" x14ac:dyDescent="0.25">
      <c r="C23" s="9">
        <v>1</v>
      </c>
      <c r="D23" s="9">
        <f>G22</f>
        <v>2</v>
      </c>
      <c r="E23" s="9">
        <f>SIN(D23)-(D23/2)</f>
        <v>-9.0702573174318291E-2</v>
      </c>
      <c r="F23" s="9">
        <f>COS(D23)-1/2</f>
        <v>-0.91614683654714235</v>
      </c>
      <c r="G23" s="9">
        <f>D23-(E23/F23)</f>
        <v>1.900995594203909</v>
      </c>
      <c r="H23" s="9">
        <f>ABS((G23-D23)/G23)</f>
        <v>5.2080292083765557E-2</v>
      </c>
      <c r="I23" s="8"/>
      <c r="J23" s="12" t="str">
        <f t="shared" ref="J23:J28" si="0">IF(H23&gt;0.005,"Otra iteración","Final")</f>
        <v>Otra iteración</v>
      </c>
    </row>
    <row r="24" spans="3:10" x14ac:dyDescent="0.25">
      <c r="C24" s="9">
        <v>2</v>
      </c>
      <c r="D24" s="9">
        <f>G23</f>
        <v>1.900995594203909</v>
      </c>
      <c r="E24" s="9">
        <f t="shared" ref="E24:E28" si="1">SIN(D24)-(D24/2)</f>
        <v>-4.5200435703052211E-3</v>
      </c>
      <c r="F24" s="9">
        <f t="shared" ref="F24:F28" si="2">COS(D24)-1/2</f>
        <v>-0.82423153736676236</v>
      </c>
      <c r="G24" s="9">
        <f t="shared" ref="G24:G28" si="3">D24-(E24/F24)</f>
        <v>1.8955116453795946</v>
      </c>
      <c r="H24" s="9">
        <f t="shared" ref="H24:H28" si="4">ABS((G24-D24)/G24)</f>
        <v>2.8931232565527929E-3</v>
      </c>
      <c r="I24" s="8"/>
      <c r="J24" s="12" t="str">
        <f t="shared" si="0"/>
        <v>Final</v>
      </c>
    </row>
    <row r="25" spans="3:10" x14ac:dyDescent="0.25">
      <c r="C25" s="9">
        <v>3</v>
      </c>
      <c r="D25" s="9">
        <f t="shared" ref="D25:D28" si="5">G24</f>
        <v>1.8955116453795946</v>
      </c>
      <c r="E25" s="9">
        <f t="shared" si="1"/>
        <v>-1.4233399602714414E-5</v>
      </c>
      <c r="F25" s="9">
        <f t="shared" si="2"/>
        <v>-0.81903899437168515</v>
      </c>
      <c r="G25" s="9">
        <f t="shared" si="3"/>
        <v>1.8954942672087132</v>
      </c>
      <c r="H25" s="9">
        <f t="shared" si="4"/>
        <v>9.1681474231116425E-6</v>
      </c>
      <c r="I25" s="8"/>
      <c r="J25" s="12" t="str">
        <f t="shared" si="0"/>
        <v>Final</v>
      </c>
    </row>
    <row r="26" spans="3:10" x14ac:dyDescent="0.25">
      <c r="C26" s="9">
        <v>4</v>
      </c>
      <c r="D26" s="9">
        <f t="shared" si="5"/>
        <v>1.8954942672087132</v>
      </c>
      <c r="E26" s="9">
        <f t="shared" si="1"/>
        <v>-1.4310963525332454E-10</v>
      </c>
      <c r="F26" s="9">
        <f t="shared" si="2"/>
        <v>-0.81902252430822076</v>
      </c>
      <c r="G26" s="9">
        <f t="shared" si="3"/>
        <v>1.8954942670339809</v>
      </c>
      <c r="H26" s="9">
        <f t="shared" si="4"/>
        <v>9.2182937044405673E-11</v>
      </c>
      <c r="I26" s="8"/>
      <c r="J26" s="12" t="str">
        <f t="shared" si="0"/>
        <v>Final</v>
      </c>
    </row>
    <row r="27" spans="3:10" x14ac:dyDescent="0.25">
      <c r="C27" s="9">
        <v>5</v>
      </c>
      <c r="D27" s="9">
        <f t="shared" si="5"/>
        <v>1.8954942670339809</v>
      </c>
      <c r="E27" s="9">
        <f t="shared" si="1"/>
        <v>0</v>
      </c>
      <c r="F27" s="9">
        <f t="shared" si="2"/>
        <v>-0.81902252414261878</v>
      </c>
      <c r="G27" s="9">
        <f t="shared" si="3"/>
        <v>1.8954942670339809</v>
      </c>
      <c r="H27" s="9">
        <f t="shared" si="4"/>
        <v>0</v>
      </c>
      <c r="I27" s="8"/>
      <c r="J27" s="12" t="str">
        <f t="shared" si="0"/>
        <v>Final</v>
      </c>
    </row>
    <row r="28" spans="3:10" x14ac:dyDescent="0.25">
      <c r="C28" s="9">
        <v>6</v>
      </c>
      <c r="D28" s="9">
        <f t="shared" si="5"/>
        <v>1.8954942670339809</v>
      </c>
      <c r="E28" s="9">
        <f t="shared" si="1"/>
        <v>0</v>
      </c>
      <c r="F28" s="9">
        <f t="shared" si="2"/>
        <v>-0.81902252414261878</v>
      </c>
      <c r="G28" s="9">
        <f t="shared" si="3"/>
        <v>1.8954942670339809</v>
      </c>
      <c r="H28" s="9">
        <f t="shared" si="4"/>
        <v>0</v>
      </c>
      <c r="I28" s="8"/>
      <c r="J28" s="12" t="str">
        <f t="shared" si="0"/>
        <v>Final</v>
      </c>
    </row>
  </sheetData>
  <mergeCells count="1">
    <mergeCell ref="C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AB12-2FAB-472F-9E9E-F6A8708CFB1D}">
  <dimension ref="C1:J28"/>
  <sheetViews>
    <sheetView workbookViewId="0">
      <selection activeCell="K13" sqref="K13"/>
    </sheetView>
  </sheetViews>
  <sheetFormatPr baseColWidth="10" defaultRowHeight="15" x14ac:dyDescent="0.25"/>
  <cols>
    <col min="3" max="8" width="21.42578125" customWidth="1"/>
    <col min="9" max="9" width="11.42578125" customWidth="1"/>
    <col min="10" max="10" width="21.42578125" customWidth="1"/>
  </cols>
  <sheetData>
    <row r="1" spans="3:9" ht="26.25" x14ac:dyDescent="0.25">
      <c r="C1" s="13" t="s">
        <v>7</v>
      </c>
      <c r="D1" s="14"/>
      <c r="E1" s="14"/>
      <c r="F1" s="14"/>
      <c r="G1" s="14"/>
      <c r="H1" s="15"/>
      <c r="I1" s="1"/>
    </row>
    <row r="2" spans="3:9" x14ac:dyDescent="0.25">
      <c r="C2" s="2"/>
      <c r="D2" s="3"/>
      <c r="E2" s="3"/>
      <c r="F2" s="3"/>
      <c r="G2" s="3"/>
      <c r="H2" s="4"/>
    </row>
    <row r="3" spans="3:9" x14ac:dyDescent="0.25">
      <c r="C3" s="2"/>
      <c r="D3" s="3"/>
      <c r="E3" s="3"/>
      <c r="F3" s="3"/>
      <c r="G3" s="3"/>
      <c r="H3" s="4"/>
    </row>
    <row r="4" spans="3:9" x14ac:dyDescent="0.25">
      <c r="C4" s="2"/>
      <c r="D4" s="3"/>
      <c r="E4" s="3"/>
      <c r="F4" s="3"/>
      <c r="G4" s="3"/>
      <c r="H4" s="4"/>
    </row>
    <row r="5" spans="3:9" x14ac:dyDescent="0.25">
      <c r="C5" s="2"/>
      <c r="D5" s="3"/>
      <c r="E5" s="3"/>
      <c r="F5" s="3"/>
      <c r="G5" s="3"/>
      <c r="H5" s="4"/>
    </row>
    <row r="6" spans="3:9" x14ac:dyDescent="0.25">
      <c r="C6" s="2"/>
      <c r="D6" s="3"/>
      <c r="E6" s="3"/>
      <c r="F6" s="3"/>
      <c r="G6" s="3"/>
      <c r="H6" s="4"/>
    </row>
    <row r="7" spans="3:9" x14ac:dyDescent="0.25">
      <c r="C7" s="2"/>
      <c r="D7" s="3"/>
      <c r="E7" s="3"/>
      <c r="F7" s="3"/>
      <c r="G7" s="3"/>
      <c r="H7" s="4"/>
    </row>
    <row r="8" spans="3:9" x14ac:dyDescent="0.25">
      <c r="C8" s="2"/>
      <c r="D8" s="3"/>
      <c r="E8" s="3"/>
      <c r="F8" s="3"/>
      <c r="G8" s="3"/>
      <c r="H8" s="4"/>
    </row>
    <row r="9" spans="3:9" x14ac:dyDescent="0.25">
      <c r="C9" s="2"/>
      <c r="D9" s="3"/>
      <c r="E9" s="3"/>
      <c r="F9" s="3"/>
      <c r="G9" s="3"/>
      <c r="H9" s="4"/>
    </row>
    <row r="10" spans="3:9" x14ac:dyDescent="0.25">
      <c r="C10" s="2"/>
      <c r="D10" s="3"/>
      <c r="E10" s="3"/>
      <c r="F10" s="3"/>
      <c r="G10" s="3"/>
      <c r="H10" s="4"/>
    </row>
    <row r="11" spans="3:9" x14ac:dyDescent="0.25">
      <c r="C11" s="2"/>
      <c r="D11" s="3"/>
      <c r="E11" s="3"/>
      <c r="F11" s="3"/>
      <c r="G11" s="3"/>
      <c r="H11" s="4"/>
    </row>
    <row r="12" spans="3:9" x14ac:dyDescent="0.25">
      <c r="C12" s="2"/>
      <c r="D12" s="3"/>
      <c r="E12" s="3"/>
      <c r="F12" s="3"/>
      <c r="G12" s="3"/>
      <c r="H12" s="4"/>
    </row>
    <row r="13" spans="3:9" x14ac:dyDescent="0.25">
      <c r="C13" s="2"/>
      <c r="D13" s="3"/>
      <c r="E13" s="3"/>
      <c r="F13" s="3"/>
      <c r="G13" s="3"/>
      <c r="H13" s="4"/>
    </row>
    <row r="14" spans="3:9" x14ac:dyDescent="0.25">
      <c r="C14" s="2"/>
      <c r="D14" s="3"/>
      <c r="E14" s="3"/>
      <c r="F14" s="3"/>
      <c r="G14" s="3"/>
      <c r="H14" s="4"/>
    </row>
    <row r="15" spans="3:9" x14ac:dyDescent="0.25">
      <c r="C15" s="2"/>
      <c r="D15" s="3"/>
      <c r="E15" s="3"/>
      <c r="F15" s="3"/>
      <c r="G15" s="3"/>
      <c r="H15" s="4"/>
    </row>
    <row r="16" spans="3:9" ht="15.75" thickBot="1" x14ac:dyDescent="0.3">
      <c r="C16" s="5"/>
      <c r="D16" s="6"/>
      <c r="E16" s="6"/>
      <c r="F16" s="6"/>
      <c r="G16" s="6"/>
      <c r="H16" s="7"/>
    </row>
    <row r="21" spans="3:10" ht="18.75" x14ac:dyDescent="0.25">
      <c r="C21" s="10" t="s">
        <v>0</v>
      </c>
      <c r="D21" s="10" t="s">
        <v>1</v>
      </c>
      <c r="E21" s="10" t="s">
        <v>2</v>
      </c>
      <c r="F21" s="10" t="s">
        <v>3</v>
      </c>
      <c r="G21" s="10" t="s">
        <v>4</v>
      </c>
      <c r="H21" s="10" t="s">
        <v>5</v>
      </c>
      <c r="J21" s="11" t="s">
        <v>6</v>
      </c>
    </row>
    <row r="22" spans="3:10" x14ac:dyDescent="0.25">
      <c r="C22" s="9">
        <v>0</v>
      </c>
      <c r="D22" s="9">
        <v>0</v>
      </c>
      <c r="E22" s="9">
        <f>EXP(-D22)-D22</f>
        <v>1</v>
      </c>
      <c r="F22" s="9">
        <f>-EXP(-D22)-1</f>
        <v>-2</v>
      </c>
      <c r="G22" s="9">
        <f>D22-(E22/F22)</f>
        <v>0.5</v>
      </c>
      <c r="H22" s="9">
        <f>ABS((G22-D22)/G22)</f>
        <v>1</v>
      </c>
      <c r="I22" s="8"/>
      <c r="J22" s="12" t="str">
        <f>IF(H22&gt;0.005,"Otra iteración","Final")</f>
        <v>Otra iteración</v>
      </c>
    </row>
    <row r="23" spans="3:10" x14ac:dyDescent="0.25">
      <c r="C23" s="9">
        <v>1</v>
      </c>
      <c r="D23" s="9">
        <f>G22</f>
        <v>0.5</v>
      </c>
      <c r="E23" s="9">
        <f t="shared" ref="E23:E28" si="0">EXP(-D23)-D23</f>
        <v>0.10653065971263342</v>
      </c>
      <c r="F23" s="9">
        <f t="shared" ref="F23:F28" si="1">-EXP(-D23)-1</f>
        <v>-1.6065306597126334</v>
      </c>
      <c r="G23" s="9">
        <f>D23-(E23/F23)</f>
        <v>0.56631100319721817</v>
      </c>
      <c r="H23" s="9">
        <f>ABS((G23-D23)/G23)</f>
        <v>0.11709290976662397</v>
      </c>
      <c r="I23" s="8"/>
      <c r="J23" s="12" t="str">
        <f t="shared" ref="J23:J28" si="2">IF(H23&gt;0.005,"Otra iteración","Final")</f>
        <v>Otra iteración</v>
      </c>
    </row>
    <row r="24" spans="3:10" x14ac:dyDescent="0.25">
      <c r="C24" s="9">
        <v>2</v>
      </c>
      <c r="D24" s="9">
        <f>G23</f>
        <v>0.56631100319721817</v>
      </c>
      <c r="E24" s="9">
        <f t="shared" si="0"/>
        <v>1.3045098060200377E-3</v>
      </c>
      <c r="F24" s="9">
        <f t="shared" si="1"/>
        <v>-1.5676155130032381</v>
      </c>
      <c r="G24" s="9">
        <f t="shared" ref="G24:G28" si="3">D24-(E24/F24)</f>
        <v>0.56714316503486217</v>
      </c>
      <c r="H24" s="9">
        <f t="shared" ref="H24:H28" si="4">ABS((G24-D24)/G24)</f>
        <v>1.4672870783743904E-3</v>
      </c>
      <c r="I24" s="8"/>
      <c r="J24" s="12" t="str">
        <f t="shared" si="2"/>
        <v>Final</v>
      </c>
    </row>
    <row r="25" spans="3:10" x14ac:dyDescent="0.25">
      <c r="C25" s="9">
        <v>3</v>
      </c>
      <c r="D25" s="9">
        <f t="shared" ref="D25:D28" si="5">G24</f>
        <v>0.56714316503486217</v>
      </c>
      <c r="E25" s="9">
        <f t="shared" si="0"/>
        <v>1.964804717813351E-7</v>
      </c>
      <c r="F25" s="9">
        <f t="shared" si="1"/>
        <v>-1.5671433615153338</v>
      </c>
      <c r="G25" s="9">
        <f t="shared" si="3"/>
        <v>0.56714329040978106</v>
      </c>
      <c r="H25" s="9">
        <f t="shared" si="4"/>
        <v>2.2106391984397624E-7</v>
      </c>
      <c r="I25" s="8"/>
      <c r="J25" s="12" t="str">
        <f t="shared" si="2"/>
        <v>Final</v>
      </c>
    </row>
    <row r="26" spans="3:10" x14ac:dyDescent="0.25">
      <c r="C26" s="9">
        <v>4</v>
      </c>
      <c r="D26" s="9">
        <f t="shared" si="5"/>
        <v>0.56714329040978106</v>
      </c>
      <c r="E26" s="9">
        <f t="shared" si="0"/>
        <v>4.4408920985006262E-15</v>
      </c>
      <c r="F26" s="9">
        <f t="shared" si="1"/>
        <v>-1.5671432904097855</v>
      </c>
      <c r="G26" s="9">
        <f t="shared" si="3"/>
        <v>0.56714329040978395</v>
      </c>
      <c r="H26" s="9">
        <f t="shared" si="4"/>
        <v>5.0896835294299901E-15</v>
      </c>
      <c r="I26" s="8"/>
      <c r="J26" s="12" t="str">
        <f t="shared" si="2"/>
        <v>Final</v>
      </c>
    </row>
    <row r="27" spans="3:10" x14ac:dyDescent="0.25">
      <c r="C27" s="9">
        <v>5</v>
      </c>
      <c r="D27" s="9">
        <f t="shared" si="5"/>
        <v>0.56714329040978395</v>
      </c>
      <c r="E27" s="9">
        <f t="shared" si="0"/>
        <v>0</v>
      </c>
      <c r="F27" s="9">
        <f t="shared" si="1"/>
        <v>-1.567143290409784</v>
      </c>
      <c r="G27" s="9">
        <f t="shared" si="3"/>
        <v>0.56714329040978395</v>
      </c>
      <c r="H27" s="9">
        <f t="shared" si="4"/>
        <v>0</v>
      </c>
      <c r="I27" s="8"/>
      <c r="J27" s="12" t="str">
        <f t="shared" si="2"/>
        <v>Final</v>
      </c>
    </row>
    <row r="28" spans="3:10" x14ac:dyDescent="0.25">
      <c r="C28" s="9">
        <v>6</v>
      </c>
      <c r="D28" s="9">
        <f t="shared" si="5"/>
        <v>0.56714329040978395</v>
      </c>
      <c r="E28" s="9">
        <f t="shared" si="0"/>
        <v>0</v>
      </c>
      <c r="F28" s="9">
        <f t="shared" si="1"/>
        <v>-1.567143290409784</v>
      </c>
      <c r="G28" s="9">
        <f t="shared" si="3"/>
        <v>0.56714329040978395</v>
      </c>
      <c r="H28" s="9">
        <f t="shared" si="4"/>
        <v>0</v>
      </c>
      <c r="I28" s="8"/>
      <c r="J28" s="12" t="str">
        <f t="shared" si="2"/>
        <v>Final</v>
      </c>
    </row>
  </sheetData>
  <mergeCells count="1">
    <mergeCell ref="C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Ejercicio 1</vt:lpstr>
      <vt:lpstr>Ejercicio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TADEO PEREZ HERNANDEZ</dc:creator>
  <cp:lastModifiedBy>DIEGO TADEO PEREZ HERNANDEZ</cp:lastModifiedBy>
  <dcterms:created xsi:type="dcterms:W3CDTF">2026-03-04T03:47:37Z</dcterms:created>
  <dcterms:modified xsi:type="dcterms:W3CDTF">2026-03-06T05:18:31Z</dcterms:modified>
</cp:coreProperties>
</file>